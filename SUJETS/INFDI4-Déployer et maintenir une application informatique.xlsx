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flierville\OneDrive - Cesi\Pro\Responsable TITRE\DI 2024\Evaluations\BLOC 4\Eval Bloc\"/>
    </mc:Choice>
  </mc:AlternateContent>
  <xr:revisionPtr revIDLastSave="0" documentId="11_56A14E97E01E7A88A427790D624ADC6667018065" xr6:coauthVersionLast="47" xr6:coauthVersionMax="47" xr10:uidLastSave="{00000000-0000-0000-0000-000000000000}"/>
  <bookViews>
    <workbookView xWindow="-120" yWindow="-120" windowWidth="29040" windowHeight="15720" xr2:uid="{00000000-000D-0000-FFFF-FFFF00000000}"/>
  </bookViews>
  <sheets>
    <sheet name="Grille à points" sheetId="1" r:id="rId1"/>
  </sheets>
  <definedNames>
    <definedName name="_xlnm.Print_Area" localSheetId="0">'Grille à points'!$A$1:$H$51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1" l="1"/>
  <c r="H5" i="1" l="1"/>
  <c r="E49" i="1" l="1"/>
  <c r="H49" i="1" s="1"/>
  <c r="H13" i="1" s="1"/>
  <c r="H51" i="1" l="1"/>
  <c r="F51" i="1"/>
  <c r="D51" i="1"/>
  <c r="C51" i="1"/>
</calcChain>
</file>

<file path=xl/sharedStrings.xml><?xml version="1.0" encoding="utf-8"?>
<sst xmlns="http://schemas.openxmlformats.org/spreadsheetml/2006/main" count="41" uniqueCount="40">
  <si>
    <t>Nom du module :</t>
  </si>
  <si>
    <t>INFDI4-Déployer et maintenir une application informatique</t>
  </si>
  <si>
    <t>Promotion :</t>
  </si>
  <si>
    <t>Date :</t>
  </si>
  <si>
    <t>Nom-Prénom</t>
  </si>
  <si>
    <t>Note*</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</si>
  <si>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</si>
  <si>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</si>
  <si>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</si>
  <si>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</si>
  <si>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</si>
  <si>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 xml:space="preserve">Signature </t>
  </si>
  <si>
    <t>Evaluateur 1</t>
  </si>
  <si>
    <t>Evaluateur 2</t>
  </si>
  <si>
    <t>Evaluateur 3</t>
  </si>
  <si>
    <t>Commentaires :</t>
  </si>
  <si>
    <t>NOTATION</t>
  </si>
  <si>
    <t>Thèmes</t>
  </si>
  <si>
    <t>Critères</t>
  </si>
  <si>
    <t>Points à attribuer</t>
  </si>
  <si>
    <t>Points obtenus</t>
  </si>
  <si>
    <t>Commentaires/Argumentations</t>
  </si>
  <si>
    <t>Garantir la stabilité et la fiabilité d’une application informatique</t>
  </si>
  <si>
    <t>La version refactorisée du code respecte les règles de l’art (simple, lisible, interprétable par un tiers, etc.). La convention de nommage définie facilite la maintenance et favorise le travail en équipe.
L'élève sait parfaitement expliquer cette partie</t>
  </si>
  <si>
    <t>Le code source est suffisamment commenté dans le respect des règles de qualité du code. Il compréhensible par un tiers externe au projet de développement informatique.
L'élève sait parfaitement expliquer cette partie</t>
  </si>
  <si>
    <t>Au moins 3 tests unitaires sont réalisés et démontrés sur des
fonctionnalités différentes. Au moins 2 tests d’intégration sont réalisés avec un jeu de données défini et permettent de démontrer que l’application est fonctionnelle (aucune valeur renseignée, type de valeur renseignée, limite de valeur renseignée, poids des fichiers ajoutés, etc.). 
L'élève sait parfaitement expliquer cette partie</t>
  </si>
  <si>
    <t>Préparer et participer au déploiement de l’application dans le système d’information de l’exploitant</t>
  </si>
  <si>
    <t>Les environnements de développement, de recette et de production sont mis en place à l’aide d’un système de machine virtuelle et de conteneurisation. Ils sont conformes aux exigences exprimés dans le cahier des charges.
L'élève sait parfaitement expliquer cette partie</t>
  </si>
  <si>
    <t>L’application, testée dans l’environnement de développement, est fonctionnelle. Des tests de non-régression sont appliqués suite aux corrections apportées et aux nouvelles fonctionnalités codées.
L'élève sait parfaitement expliquer cette partie</t>
  </si>
  <si>
    <t>L’application déployée est fonctionnelle lors d’une démonstration complète sur les environnements de recette et de production.
L'élève sait parfaitement expliquer cette partie</t>
  </si>
  <si>
    <t>Recenser et appliquer les besoins d’évolution et/ou de correction de l’application informatique</t>
  </si>
  <si>
    <t>Une plateforme de suivi de problèmes est correctement installée. Elle permet de référencer et suivre les remarques, dysfonctionnements et évolutions. Le système de gestion des versions utilisé optimise la maintenance et favorise le travail collaboratif sur l’application.
L'élève sait parfaitement expliquer cette partie</t>
  </si>
  <si>
    <t>Au moins 2 nouvelles fonctionnalités ou corrections sont développées au sein de l’application informatique. Les évolutions développées sont en cohérence avec la demande initiale et permettent une montée de version.
L'élève sait parfaitement expliquer cette partie</t>
  </si>
  <si>
    <t>Les mises à jour et leurs impacts sont formalisés dans un document de type release notes. Il est clair et synthétique</t>
  </si>
  <si>
    <t>Rédiger les documentations d’exploitation (documentation technique, mise en production, recettage et utilisation) de l’application informatique à destination des utilisateurs finaux</t>
  </si>
  <si>
    <t>Un document de mise en production est proposé. Il reprend les schémas de la structure applicative. Il détaille la chronologie des étapes de mise en production avec succès de l’application informatique. Il comprend un sommaire clair, cohérent et structuré. Le vocabulaire  obilisé est compréhensible par des développeurs</t>
  </si>
  <si>
    <t>Un document support destiné aux utilisateurs finaux est proposé. Il est accessible à tous et illustré par des vues d’écran pour détailler intégralement au moins une fonctionnalité de l’application informatique. Il comprend un sommaire clair, cohérent et structuré. Le  ocabulaire mobilisé est compréhensible par l’ensemble des utilisateurs.</t>
  </si>
  <si>
    <t>Total :</t>
  </si>
  <si>
    <t>Note (lettre) :</t>
  </si>
  <si>
    <t>Conversion lettre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</si>
</sst>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4"/>
      <color theme="0"/>
      <name val="Calibri"/>
      <family val="2"/>
      <scheme val="minor"/>
    </font>
    <font>
      <b/>
      <sz val="10"/>
      <color theme="1"/>
      <name val="Calibri"/>
      <family val="2"/>
      <scheme val="minor"/>
    </font>
    <font>
      <sz val="9"/>
      <color theme="1"/>
      <name val="Calibri"/>
      <family val="2"/>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17">
    <xf numFmtId="0" fontId="0" fillId="0" borderId="0" xfId="0"/>
    <xf numFmtId="0" fontId="2" fillId="0" borderId="9" xfId="0" applyFont="1" applyBorder="1" applyAlignment="1">
      <alignment horizontal="center" vertical="center" wrapText="1"/>
    </xf>
    <xf numFmtId="0" fontId="2" fillId="0" borderId="0" xfId="0" applyFont="1"/>
    <xf numFmtId="0" fontId="0" fillId="0" borderId="0" xfId="0"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0" fillId="0" borderId="1" xfId="0"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8" fillId="0" borderId="10" xfId="0" applyFont="1" applyBorder="1" applyAlignment="1">
      <alignment horizontal="center" vertical="center" wrapText="1"/>
    </xf>
    <xf numFmtId="0" fontId="9" fillId="0" borderId="0" xfId="0" applyFont="1"/>
    <xf numFmtId="0" fontId="9" fillId="0" borderId="0" xfId="0" applyFont="1" applyAlignment="1">
      <alignment horizontal="right"/>
    </xf>
    <xf numFmtId="0" fontId="6" fillId="0" borderId="0" xfId="0" applyFont="1" applyAlignment="1">
      <alignment vertical="center"/>
    </xf>
    <xf numFmtId="0" fontId="3" fillId="0" borderId="29" xfId="0" applyFont="1" applyBorder="1" applyAlignment="1">
      <alignment horizontal="center" vertical="center" wrapText="1"/>
    </xf>
    <xf numFmtId="0" fontId="2" fillId="0" borderId="32" xfId="0" applyFont="1" applyBorder="1" applyAlignment="1">
      <alignment vertical="top"/>
    </xf>
    <xf numFmtId="0" fontId="2" fillId="0" borderId="33" xfId="0" applyFont="1" applyBorder="1" applyAlignment="1">
      <alignment vertical="top"/>
    </xf>
    <xf numFmtId="0" fontId="2" fillId="0" borderId="34" xfId="0" applyFont="1" applyBorder="1" applyAlignment="1">
      <alignment vertical="top"/>
    </xf>
    <xf numFmtId="0" fontId="0" fillId="0" borderId="7" xfId="0" applyBorder="1" applyAlignment="1">
      <alignment horizontal="center" vertical="center"/>
    </xf>
    <xf numFmtId="0" fontId="10" fillId="0" borderId="0" xfId="0" applyFont="1" applyAlignment="1">
      <alignment horizontal="left" vertical="center"/>
    </xf>
    <xf numFmtId="0" fontId="10" fillId="0" borderId="0" xfId="0" applyFont="1" applyAlignment="1">
      <alignment vertical="center"/>
    </xf>
    <xf numFmtId="0" fontId="11" fillId="5" borderId="0" xfId="0" applyFont="1" applyFill="1" applyAlignment="1">
      <alignment horizontal="center" vertical="center"/>
    </xf>
    <xf numFmtId="0" fontId="9" fillId="0" borderId="0" xfId="0" applyFont="1" applyAlignment="1">
      <alignment horizontal="right" vertical="center"/>
    </xf>
    <xf numFmtId="0" fontId="2" fillId="0" borderId="0" xfId="0" quotePrefix="1" applyFont="1" applyAlignment="1">
      <alignment horizontal="right" vertical="center"/>
    </xf>
    <xf numFmtId="0" fontId="0" fillId="0" borderId="29" xfId="0" applyBorder="1" applyAlignment="1">
      <alignment horizontal="center" vertical="center"/>
    </xf>
    <xf numFmtId="0" fontId="0" fillId="0" borderId="2" xfId="0" applyBorder="1" applyAlignment="1">
      <alignment horizontal="center"/>
    </xf>
    <xf numFmtId="0" fontId="12" fillId="0" borderId="0" xfId="0" applyFont="1" applyAlignment="1">
      <alignment wrapText="1"/>
    </xf>
    <xf numFmtId="0" fontId="11" fillId="0" borderId="0" xfId="0" applyFont="1"/>
    <xf numFmtId="0" fontId="4" fillId="0" borderId="0" xfId="0" applyFont="1" applyAlignment="1">
      <alignment horizontal="center" vertical="center" wrapText="1"/>
    </xf>
    <xf numFmtId="0" fontId="4" fillId="0" borderId="35" xfId="0" applyFont="1" applyBorder="1" applyAlignment="1">
      <alignment horizontal="center" vertical="center"/>
    </xf>
    <xf numFmtId="0" fontId="2" fillId="0" borderId="0" xfId="0" applyFont="1" applyAlignment="1">
      <alignment horizontal="center" vertical="top"/>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wrapText="1"/>
    </xf>
    <xf numFmtId="0" fontId="0" fillId="0" borderId="6" xfId="0" applyBorder="1" applyAlignment="1">
      <alignment horizontal="center" vertical="center"/>
    </xf>
    <xf numFmtId="0" fontId="14" fillId="0" borderId="0" xfId="0" applyFont="1" applyAlignment="1">
      <alignment horizontal="left" vertical="center"/>
    </xf>
    <xf numFmtId="0" fontId="13" fillId="0" borderId="0" xfId="0" applyFont="1" applyAlignment="1">
      <alignment horizontal="right"/>
    </xf>
    <xf numFmtId="0" fontId="0" fillId="0" borderId="49" xfId="0" applyBorder="1" applyAlignment="1">
      <alignment horizontal="center" vertical="center"/>
    </xf>
    <xf numFmtId="0" fontId="4" fillId="0" borderId="48" xfId="0" applyFont="1" applyBorder="1" applyAlignment="1">
      <alignment horizontal="center" vertical="center"/>
    </xf>
    <xf numFmtId="0" fontId="0" fillId="0" borderId="24" xfId="0" applyBorder="1" applyAlignment="1">
      <alignment horizontal="center" vertical="center"/>
    </xf>
    <xf numFmtId="0" fontId="4" fillId="0" borderId="20"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0" borderId="1" xfId="0" applyFont="1" applyBorder="1" applyAlignment="1">
      <alignment horizontal="left" vertical="center" wrapText="1"/>
    </xf>
    <xf numFmtId="0" fontId="2" fillId="0" borderId="10" xfId="0" applyFont="1" applyBorder="1" applyAlignment="1">
      <alignment horizontal="center" vertical="center"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2" fillId="0" borderId="12" xfId="0" applyFont="1" applyBorder="1" applyAlignment="1">
      <alignment horizontal="center" vertical="center" wrapText="1"/>
    </xf>
    <xf numFmtId="0" fontId="2" fillId="0" borderId="21"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39" xfId="0" applyFont="1" applyBorder="1" applyAlignment="1">
      <alignment horizontal="center" vertical="center" wrapTex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20" xfId="0" applyFont="1" applyBorder="1" applyAlignment="1">
      <alignment horizontal="left" vertical="center" wrapText="1"/>
    </xf>
    <xf numFmtId="0" fontId="4" fillId="0" borderId="41"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center" vertical="center" wrapText="1"/>
    </xf>
    <xf numFmtId="0" fontId="10" fillId="4" borderId="12"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13"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26" xfId="0" applyFont="1" applyBorder="1" applyAlignment="1">
      <alignment horizontal="center" vertical="center"/>
    </xf>
    <xf numFmtId="0" fontId="2" fillId="0" borderId="31" xfId="0" applyFont="1" applyBorder="1" applyAlignment="1">
      <alignment horizontal="center" vertical="top"/>
    </xf>
    <xf numFmtId="0" fontId="2" fillId="0" borderId="0" xfId="0" applyFont="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0" fontId="2" fillId="0" borderId="37" xfId="0" applyFont="1" applyBorder="1" applyAlignment="1">
      <alignment horizontal="center" vertical="top"/>
    </xf>
    <xf numFmtId="0" fontId="2" fillId="0" borderId="38" xfId="0" applyFont="1" applyBorder="1" applyAlignment="1">
      <alignment horizontal="center" vertical="top"/>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2" fillId="4" borderId="12" xfId="0" applyFont="1" applyFill="1" applyBorder="1" applyAlignment="1">
      <alignment horizontal="center" vertical="center"/>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0" borderId="11" xfId="0" applyFont="1" applyBorder="1" applyAlignment="1">
      <alignment horizontal="center" vertical="center" wrapText="1"/>
    </xf>
    <xf numFmtId="0" fontId="2" fillId="0" borderId="30"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4" fillId="0" borderId="44" xfId="0" applyFont="1" applyBorder="1" applyAlignment="1">
      <alignment horizontal="left" vertical="center" wrapText="1"/>
    </xf>
    <xf numFmtId="0" fontId="4" fillId="0" borderId="47" xfId="0" applyFont="1" applyBorder="1" applyAlignment="1">
      <alignment horizontal="left" vertical="center" wrapText="1"/>
    </xf>
    <xf numFmtId="0" fontId="4" fillId="0" borderId="45" xfId="0" applyFont="1" applyBorder="1" applyAlignment="1">
      <alignment horizontal="left" vertical="center" wrapText="1"/>
    </xf>
    <xf numFmtId="0" fontId="4" fillId="0" borderId="46" xfId="0" applyFont="1" applyBorder="1" applyAlignment="1">
      <alignment horizontal="left" vertical="center" wrapText="1"/>
    </xf>
    <xf numFmtId="0" fontId="2" fillId="0" borderId="7" xfId="0" applyFont="1" applyBorder="1" applyAlignment="1">
      <alignment horizontal="center" vertical="center"/>
    </xf>
    <xf numFmtId="0" fontId="2" fillId="0" borderId="44" xfId="0" applyFont="1" applyBorder="1" applyAlignment="1">
      <alignment horizontal="center" vertical="center"/>
    </xf>
    <xf numFmtId="0" fontId="2" fillId="0" borderId="17" xfId="0" applyFont="1" applyBorder="1" applyAlignment="1">
      <alignment horizontal="center" vertical="center"/>
    </xf>
    <xf numFmtId="0" fontId="2" fillId="0" borderId="20" xfId="0" applyFont="1" applyBorder="1" applyAlignment="1">
      <alignment horizontal="center" vertical="center"/>
    </xf>
    <xf numFmtId="0" fontId="2" fillId="0" borderId="2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0"/>
  <sheetViews>
    <sheetView showGridLines="0" tabSelected="1" zoomScale="115" zoomScaleNormal="115" zoomScalePageLayoutView="130" workbookViewId="0">
      <selection activeCell="H6" sqref="H6"/>
    </sheetView>
  </sheetViews>
  <sheetFormatPr defaultColWidth="11.42578125" defaultRowHeight="15"/>
  <cols>
    <col min="1" max="1" width="21.5703125" customWidth="1"/>
    <col min="2" max="2" width="11.42578125" customWidth="1"/>
    <col min="3" max="3" width="37.28515625" customWidth="1"/>
    <col min="4" max="5" width="8.7109375" customWidth="1"/>
    <col min="6" max="6" width="9.5703125" customWidth="1"/>
    <col min="7" max="7" width="8.7109375" customWidth="1"/>
    <col min="8" max="8" width="16.7109375" customWidth="1"/>
  </cols>
  <sheetData>
    <row r="1" spans="1:8" ht="4.1500000000000004" customHeight="1"/>
    <row r="2" spans="1:8" ht="4.1500000000000004" customHeight="1"/>
    <row r="3" spans="1:8" ht="7.9" customHeight="1"/>
    <row r="4" spans="1:8" s="19" customFormat="1" ht="7.9" customHeight="1" thickBot="1">
      <c r="B4" s="20"/>
      <c r="C4" s="29"/>
      <c r="D4" s="29"/>
      <c r="E4" s="29"/>
      <c r="F4" s="29"/>
      <c r="G4" s="29"/>
      <c r="H4" s="35"/>
    </row>
    <row r="5" spans="1:8" ht="28.15" customHeight="1" thickBot="1">
      <c r="B5" s="30" t="s">
        <v>0</v>
      </c>
      <c r="C5" s="76" t="s">
        <v>1</v>
      </c>
      <c r="D5" s="77"/>
      <c r="E5" s="77"/>
      <c r="F5" s="77"/>
      <c r="G5" s="78"/>
      <c r="H5" s="34" t="e">
        <f>RIGHT(#REF!,(LEN(#REF!)-SEARCH("-",#REF!)-1))</f>
        <v>#REF!</v>
      </c>
    </row>
    <row r="7" spans="1:8" ht="15.75" thickBot="1"/>
    <row r="8" spans="1:8" ht="24" customHeight="1" thickBot="1">
      <c r="A8" s="28" t="s">
        <v>2</v>
      </c>
      <c r="B8" s="96"/>
      <c r="C8" s="97"/>
      <c r="E8" s="27" t="s">
        <v>3</v>
      </c>
      <c r="F8" s="96"/>
      <c r="G8" s="97"/>
    </row>
    <row r="10" spans="1:8" ht="12.6" customHeight="1"/>
    <row r="11" spans="1:8" ht="8.4499999999999993" customHeight="1" thickBot="1"/>
    <row r="12" spans="1:8" ht="21" customHeight="1" thickBot="1">
      <c r="A12" s="3"/>
      <c r="B12" s="102" t="s">
        <v>4</v>
      </c>
      <c r="C12" s="103"/>
      <c r="D12" s="104"/>
      <c r="H12" s="22" t="s">
        <v>5</v>
      </c>
    </row>
    <row r="13" spans="1:8" s="3" customFormat="1" ht="33.6" customHeight="1" thickBot="1">
      <c r="A13" s="12"/>
      <c r="B13" s="79"/>
      <c r="C13" s="80"/>
      <c r="D13" s="81"/>
      <c r="E13"/>
      <c r="F13"/>
      <c r="G13" s="21"/>
      <c r="H13" s="32" t="str">
        <f>H49</f>
        <v/>
      </c>
    </row>
    <row r="14" spans="1:8" s="3" customFormat="1" ht="14.45" customHeight="1">
      <c r="A14" s="12"/>
      <c r="B14" s="13"/>
      <c r="C14" s="13"/>
      <c r="D14" s="13"/>
      <c r="E14"/>
      <c r="F14"/>
      <c r="G14" s="21"/>
      <c r="H14" s="14"/>
    </row>
    <row r="15" spans="1:8" s="3" customFormat="1" ht="15" customHeight="1">
      <c r="A15" s="31" t="s">
        <v>6</v>
      </c>
      <c r="B15" s="44" t="s">
        <v>7</v>
      </c>
      <c r="D15" s="13"/>
      <c r="E15" s="14"/>
      <c r="F15" s="14"/>
      <c r="G15" s="21"/>
      <c r="H15" s="14"/>
    </row>
    <row r="16" spans="1:8" s="3" customFormat="1" ht="15" customHeight="1">
      <c r="A16" s="12"/>
      <c r="B16" s="44" t="s">
        <v>8</v>
      </c>
      <c r="D16" s="13"/>
      <c r="E16" s="14"/>
      <c r="F16" s="14"/>
      <c r="G16" s="21"/>
      <c r="H16" s="14"/>
    </row>
    <row r="17" spans="1:8" s="3" customFormat="1" ht="15" customHeight="1">
      <c r="A17" s="12"/>
      <c r="B17" s="44" t="s">
        <v>9</v>
      </c>
      <c r="D17" s="13"/>
      <c r="E17" s="14"/>
      <c r="F17" s="14"/>
      <c r="G17" s="21"/>
      <c r="H17" s="14"/>
    </row>
    <row r="18" spans="1:8" s="3" customFormat="1" ht="15" customHeight="1">
      <c r="A18" s="12"/>
      <c r="B18" s="44" t="s">
        <v>10</v>
      </c>
      <c r="D18" s="13"/>
      <c r="E18" s="14"/>
      <c r="F18" s="14"/>
      <c r="G18" s="21"/>
      <c r="H18" s="14"/>
    </row>
    <row r="19" spans="1:8" s="3" customFormat="1" ht="19.149999999999999" customHeight="1" thickBot="1">
      <c r="A19" s="12"/>
      <c r="B19" s="13"/>
      <c r="C19" s="13"/>
      <c r="D19" s="13"/>
      <c r="E19" s="14"/>
      <c r="F19" s="14"/>
      <c r="G19" s="21"/>
      <c r="H19" s="14"/>
    </row>
    <row r="20" spans="1:8" ht="15.75" thickBot="1">
      <c r="A20" s="2"/>
      <c r="B20" s="105" t="s">
        <v>4</v>
      </c>
      <c r="C20" s="106"/>
      <c r="D20" s="107"/>
      <c r="E20" s="82" t="s">
        <v>11</v>
      </c>
      <c r="F20" s="82"/>
      <c r="G20" s="83"/>
    </row>
    <row r="21" spans="1:8" ht="37.15" customHeight="1">
      <c r="A21" s="4" t="s">
        <v>12</v>
      </c>
      <c r="B21" s="112"/>
      <c r="C21" s="112"/>
      <c r="D21" s="113"/>
      <c r="E21" s="84"/>
      <c r="F21" s="85"/>
      <c r="G21" s="86"/>
      <c r="H21" s="12"/>
    </row>
    <row r="22" spans="1:8" ht="37.15" customHeight="1">
      <c r="A22" s="5" t="s">
        <v>13</v>
      </c>
      <c r="B22" s="88"/>
      <c r="C22" s="88"/>
      <c r="D22" s="114"/>
      <c r="E22" s="87"/>
      <c r="F22" s="88"/>
      <c r="G22" s="89"/>
      <c r="H22" s="12"/>
    </row>
    <row r="23" spans="1:8" ht="37.15" customHeight="1" thickBot="1">
      <c r="A23" s="6" t="s">
        <v>14</v>
      </c>
      <c r="B23" s="80"/>
      <c r="C23" s="80"/>
      <c r="D23" s="115"/>
      <c r="E23" s="79"/>
      <c r="F23" s="80"/>
      <c r="G23" s="81"/>
      <c r="H23" s="12"/>
    </row>
    <row r="24" spans="1:8" ht="21" customHeight="1" thickBot="1">
      <c r="A24" s="12"/>
      <c r="B24" s="13"/>
      <c r="C24" s="13"/>
      <c r="D24" s="13"/>
      <c r="E24" s="12"/>
      <c r="F24" s="12"/>
      <c r="G24" s="12"/>
      <c r="H24" s="12"/>
    </row>
    <row r="25" spans="1:8" ht="21" customHeight="1">
      <c r="A25" s="23" t="s">
        <v>15</v>
      </c>
      <c r="B25" s="24"/>
      <c r="C25" s="24"/>
      <c r="D25" s="24"/>
      <c r="E25" s="24"/>
      <c r="F25" s="24"/>
      <c r="G25" s="24"/>
      <c r="H25" s="25"/>
    </row>
    <row r="26" spans="1:8" ht="16.899999999999999" customHeight="1">
      <c r="A26" s="90"/>
      <c r="B26" s="91"/>
      <c r="C26" s="91"/>
      <c r="D26" s="91"/>
      <c r="E26" s="91"/>
      <c r="F26" s="91"/>
      <c r="G26" s="91"/>
      <c r="H26" s="92"/>
    </row>
    <row r="27" spans="1:8" ht="16.899999999999999" customHeight="1">
      <c r="A27" s="90"/>
      <c r="B27" s="91"/>
      <c r="C27" s="91"/>
      <c r="D27" s="91"/>
      <c r="E27" s="91"/>
      <c r="F27" s="91"/>
      <c r="G27" s="91"/>
      <c r="H27" s="92"/>
    </row>
    <row r="28" spans="1:8" ht="16.899999999999999" customHeight="1">
      <c r="A28" s="90"/>
      <c r="B28" s="91"/>
      <c r="C28" s="91"/>
      <c r="D28" s="91"/>
      <c r="E28" s="91"/>
      <c r="F28" s="91"/>
      <c r="G28" s="91"/>
      <c r="H28" s="92"/>
    </row>
    <row r="29" spans="1:8" ht="16.899999999999999" customHeight="1">
      <c r="A29" s="90"/>
      <c r="B29" s="91"/>
      <c r="C29" s="91"/>
      <c r="D29" s="91"/>
      <c r="E29" s="91"/>
      <c r="F29" s="91"/>
      <c r="G29" s="91"/>
      <c r="H29" s="92"/>
    </row>
    <row r="30" spans="1:8" ht="16.899999999999999" customHeight="1">
      <c r="A30" s="90"/>
      <c r="B30" s="91"/>
      <c r="C30" s="91"/>
      <c r="D30" s="91"/>
      <c r="E30" s="91"/>
      <c r="F30" s="91"/>
      <c r="G30" s="91"/>
      <c r="H30" s="92"/>
    </row>
    <row r="31" spans="1:8" ht="16.899999999999999" customHeight="1" thickBot="1">
      <c r="A31" s="93"/>
      <c r="B31" s="94"/>
      <c r="C31" s="94"/>
      <c r="D31" s="94"/>
      <c r="E31" s="94"/>
      <c r="F31" s="94"/>
      <c r="G31" s="94"/>
      <c r="H31" s="95"/>
    </row>
    <row r="32" spans="1:8" ht="16.899999999999999" customHeight="1">
      <c r="A32" s="38"/>
      <c r="B32" s="38"/>
      <c r="C32" s="38"/>
      <c r="D32" s="38"/>
      <c r="E32" s="38"/>
      <c r="F32" s="38"/>
      <c r="G32" s="38"/>
      <c r="H32" s="38"/>
    </row>
    <row r="33" spans="1:8" s="3" customFormat="1" ht="12.6" customHeight="1" thickBot="1">
      <c r="A33" s="12"/>
      <c r="B33" s="13"/>
      <c r="C33" s="13"/>
      <c r="D33" s="13"/>
      <c r="E33" s="14"/>
      <c r="F33" s="14"/>
      <c r="G33" s="14"/>
    </row>
    <row r="34" spans="1:8" ht="15.75" thickBot="1">
      <c r="A34" s="98" t="s">
        <v>16</v>
      </c>
      <c r="B34" s="99"/>
      <c r="C34" s="99"/>
      <c r="D34" s="99"/>
      <c r="E34" s="99"/>
      <c r="F34" s="99"/>
      <c r="G34" s="99"/>
      <c r="H34" s="100"/>
    </row>
    <row r="35" spans="1:8" ht="15.75" thickBot="1"/>
    <row r="36" spans="1:8" ht="23.25" thickBot="1">
      <c r="A36" s="1" t="s">
        <v>17</v>
      </c>
      <c r="B36" s="116" t="s">
        <v>18</v>
      </c>
      <c r="C36" s="60"/>
      <c r="D36" s="18" t="s">
        <v>19</v>
      </c>
      <c r="E36" s="18" t="s">
        <v>20</v>
      </c>
      <c r="F36" s="53" t="s">
        <v>21</v>
      </c>
      <c r="G36" s="53"/>
      <c r="H36" s="101"/>
    </row>
    <row r="37" spans="1:8" ht="69.75" customHeight="1">
      <c r="A37" s="61" t="s">
        <v>22</v>
      </c>
      <c r="B37" s="64" t="s">
        <v>23</v>
      </c>
      <c r="C37" s="65"/>
      <c r="D37" s="26">
        <v>2</v>
      </c>
      <c r="E37" s="26"/>
      <c r="F37" s="75"/>
      <c r="G37" s="66"/>
      <c r="H37" s="67"/>
    </row>
    <row r="38" spans="1:8" ht="56.25" customHeight="1">
      <c r="A38" s="63"/>
      <c r="B38" s="54" t="s">
        <v>24</v>
      </c>
      <c r="C38" s="55"/>
      <c r="D38" s="11">
        <v>1</v>
      </c>
      <c r="E38" s="11"/>
      <c r="F38" s="56"/>
      <c r="G38" s="57"/>
      <c r="H38" s="58"/>
    </row>
    <row r="39" spans="1:8" ht="99" customHeight="1" thickBot="1">
      <c r="A39" s="62"/>
      <c r="B39" s="68" t="s">
        <v>25</v>
      </c>
      <c r="C39" s="69"/>
      <c r="D39" s="43">
        <v>2</v>
      </c>
      <c r="E39" s="43"/>
      <c r="F39" s="49"/>
      <c r="G39" s="50"/>
      <c r="H39" s="51"/>
    </row>
    <row r="40" spans="1:8" ht="87.75" customHeight="1">
      <c r="A40" s="61" t="s">
        <v>26</v>
      </c>
      <c r="B40" s="108" t="s">
        <v>27</v>
      </c>
      <c r="C40" s="109"/>
      <c r="D40" s="26">
        <v>4</v>
      </c>
      <c r="E40" s="26"/>
      <c r="F40" s="66"/>
      <c r="G40" s="66"/>
      <c r="H40" s="67"/>
    </row>
    <row r="41" spans="1:8" ht="67.5" customHeight="1">
      <c r="A41" s="63"/>
      <c r="B41" s="52" t="s">
        <v>28</v>
      </c>
      <c r="C41" s="52"/>
      <c r="D41" s="46">
        <v>2</v>
      </c>
      <c r="E41" s="46"/>
      <c r="F41" s="47"/>
      <c r="G41" s="41"/>
      <c r="H41" s="37"/>
    </row>
    <row r="42" spans="1:8" ht="56.25" customHeight="1" thickBot="1">
      <c r="A42" s="62"/>
      <c r="B42" s="110" t="s">
        <v>29</v>
      </c>
      <c r="C42" s="111"/>
      <c r="D42" s="43">
        <v>3</v>
      </c>
      <c r="E42" s="43"/>
      <c r="F42" s="49"/>
      <c r="G42" s="50"/>
      <c r="H42" s="51"/>
    </row>
    <row r="43" spans="1:8" ht="81.75" customHeight="1">
      <c r="A43" s="61" t="s">
        <v>30</v>
      </c>
      <c r="B43" s="64" t="s">
        <v>31</v>
      </c>
      <c r="C43" s="65"/>
      <c r="D43" s="26">
        <v>1</v>
      </c>
      <c r="E43" s="26"/>
      <c r="F43" s="66"/>
      <c r="G43" s="66"/>
      <c r="H43" s="67"/>
    </row>
    <row r="44" spans="1:8" ht="68.25" customHeight="1">
      <c r="A44" s="63"/>
      <c r="B44" s="54" t="s">
        <v>32</v>
      </c>
      <c r="C44" s="55"/>
      <c r="D44" s="46">
        <v>2</v>
      </c>
      <c r="E44" s="46"/>
      <c r="F44" s="47"/>
      <c r="G44" s="41"/>
      <c r="H44" s="37"/>
    </row>
    <row r="45" spans="1:8" ht="43.5" customHeight="1" thickBot="1">
      <c r="A45" s="63"/>
      <c r="B45" s="68" t="s">
        <v>33</v>
      </c>
      <c r="C45" s="69"/>
      <c r="D45" s="43">
        <v>1</v>
      </c>
      <c r="E45" s="43"/>
      <c r="F45" s="49"/>
      <c r="G45" s="50"/>
      <c r="H45" s="51"/>
    </row>
    <row r="46" spans="1:8" ht="86.25" customHeight="1">
      <c r="A46" s="61" t="s">
        <v>34</v>
      </c>
      <c r="B46" s="70" t="s">
        <v>35</v>
      </c>
      <c r="C46" s="71"/>
      <c r="D46" s="48">
        <v>1</v>
      </c>
      <c r="E46" s="48"/>
      <c r="F46" s="72"/>
      <c r="G46" s="72"/>
      <c r="H46" s="73"/>
    </row>
    <row r="47" spans="1:8" ht="88.5" customHeight="1" thickBot="1">
      <c r="A47" s="62"/>
      <c r="B47" s="74" t="s">
        <v>36</v>
      </c>
      <c r="C47" s="74"/>
      <c r="D47" s="43">
        <v>1</v>
      </c>
      <c r="E47" s="43"/>
      <c r="F47" s="49"/>
      <c r="G47" s="50"/>
      <c r="H47" s="51"/>
    </row>
    <row r="48" spans="1:8" ht="15.75" thickBot="1">
      <c r="A48" s="36"/>
      <c r="B48" s="42"/>
      <c r="C48" s="42"/>
      <c r="D48" s="14"/>
      <c r="E48" s="14"/>
      <c r="F48" s="41"/>
      <c r="G48" s="41"/>
      <c r="H48" s="37"/>
    </row>
    <row r="49" spans="1:8">
      <c r="C49" s="7" t="s">
        <v>37</v>
      </c>
      <c r="D49" s="10">
        <f>SUM(D37:D47)</f>
        <v>20</v>
      </c>
      <c r="E49" s="9" t="str">
        <f>IF(COUNTA(E37:E47)=0,"",SUM(E37:E47))</f>
        <v/>
      </c>
      <c r="F49" s="8"/>
      <c r="G49" s="45" t="s">
        <v>38</v>
      </c>
      <c r="H49" s="33" t="str">
        <f>IF(E49="","",IF(E49&gt;=MROUND(15.99*D49/20,1),"A",IF(E49&gt;=MROUND(12*D49/20,1),"B",IF(E49&gt;=MROUND(8*D49/20,1),"C","D"))))</f>
        <v/>
      </c>
    </row>
    <row r="50" spans="1:8" ht="15.75" thickBot="1"/>
    <row r="51" spans="1:8" ht="30.75" thickBot="1">
      <c r="A51" s="59" t="s">
        <v>39</v>
      </c>
      <c r="B51" s="60"/>
      <c r="C51" s="39" t="str">
        <f>"De "&amp;MROUND(15.99*D49/20,1)&amp;" à "&amp; D49 &amp;""&amp; CHAR(10) &amp; " =  A"</f>
        <v>De 16 à 20
 =  A</v>
      </c>
      <c r="D51" s="53" t="str">
        <f>"De "&amp;MROUND(12*D49/20,1)&amp;" à "&amp; MROUND(15.99*D49/20,1)-0.01 &amp;""&amp;CHAR(10)&amp; " =  B"</f>
        <v>De 12 à 15,99
 =  B</v>
      </c>
      <c r="E51" s="53"/>
      <c r="F51" s="53" t="str">
        <f>"De "&amp;MROUND(8*D49/20,1)&amp;" à "&amp; MROUND(12*D49/20,1)-0.01 &amp;""&amp;CHAR(10)&amp; " =  C"</f>
        <v>De 8 à 11,99
 =  C</v>
      </c>
      <c r="G51" s="53"/>
      <c r="H51" s="40" t="str">
        <f>"De "&amp;0&amp;" à "&amp; MROUND(8*D49/20,1)-0.01 &amp;""&amp;CHAR(10)&amp; " =  D"</f>
        <v>De 0 à 7,99
 =  D</v>
      </c>
    </row>
    <row r="68" spans="3:7">
      <c r="C68" s="7"/>
      <c r="D68" s="17"/>
      <c r="E68" s="16"/>
      <c r="F68" s="8"/>
      <c r="G68" s="15"/>
    </row>
    <row r="69" spans="3:7">
      <c r="C69" s="7"/>
      <c r="D69" s="17"/>
      <c r="E69" s="16"/>
      <c r="F69" s="8"/>
      <c r="G69" s="15"/>
    </row>
    <row r="70" spans="3:7">
      <c r="C70" s="7"/>
      <c r="D70" s="17"/>
      <c r="E70" s="16"/>
      <c r="F70" s="8"/>
      <c r="G70" s="15"/>
    </row>
  </sheetData>
  <mergeCells count="44">
    <mergeCell ref="B37:C37"/>
    <mergeCell ref="B21:D21"/>
    <mergeCell ref="B22:D22"/>
    <mergeCell ref="B23:D23"/>
    <mergeCell ref="B36:C36"/>
    <mergeCell ref="B40:C40"/>
    <mergeCell ref="F40:H40"/>
    <mergeCell ref="B42:C42"/>
    <mergeCell ref="F42:H42"/>
    <mergeCell ref="B39:C39"/>
    <mergeCell ref="E23:G23"/>
    <mergeCell ref="A26:H31"/>
    <mergeCell ref="F8:G8"/>
    <mergeCell ref="A34:H34"/>
    <mergeCell ref="F36:H36"/>
    <mergeCell ref="B12:D12"/>
    <mergeCell ref="B8:C8"/>
    <mergeCell ref="B20:D20"/>
    <mergeCell ref="C5:G5"/>
    <mergeCell ref="B13:D13"/>
    <mergeCell ref="E20:G20"/>
    <mergeCell ref="E21:G21"/>
    <mergeCell ref="E22:G22"/>
    <mergeCell ref="F38:H38"/>
    <mergeCell ref="F39:H39"/>
    <mergeCell ref="A51:B51"/>
    <mergeCell ref="A46:A47"/>
    <mergeCell ref="A43:A45"/>
    <mergeCell ref="B43:C43"/>
    <mergeCell ref="F43:H43"/>
    <mergeCell ref="B45:C45"/>
    <mergeCell ref="F45:H45"/>
    <mergeCell ref="B46:C46"/>
    <mergeCell ref="F46:H46"/>
    <mergeCell ref="B47:C47"/>
    <mergeCell ref="A37:A39"/>
    <mergeCell ref="A40:A42"/>
    <mergeCell ref="F37:H37"/>
    <mergeCell ref="B38:C38"/>
    <mergeCell ref="F47:H47"/>
    <mergeCell ref="B41:C41"/>
    <mergeCell ref="D51:E51"/>
    <mergeCell ref="F51:G51"/>
    <mergeCell ref="B44:C44"/>
  </mergeCells>
  <printOptions horizontalCentered="1"/>
  <pageMargins left="0.23622047244094491" right="0.23622047244094491" top="0.55118110236220474" bottom="0.35433070866141736" header="0.11811023622047245" footer="0.11811023622047245"/>
  <pageSetup paperSize="9" scale="62" orientation="portrait" r:id="rId1"/>
  <headerFooter>
    <oddHeader>&amp;L&amp;G&amp;R&amp;"-,Gras"&amp;14
Grille d'évaluation
&amp;12Bloc de compétences</oddHeader>
    <oddFooter>&amp;L&amp;F&amp;R&amp;P/&amp;N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3A539E0C87D4D83167993C53A6FEA" ma:contentTypeVersion="11" ma:contentTypeDescription="Crée un document." ma:contentTypeScope="" ma:versionID="662ebc4eeb4975e16fa6e45a1d9fd940">
  <xsd:schema xmlns:xsd="http://www.w3.org/2001/XMLSchema" xmlns:xs="http://www.w3.org/2001/XMLSchema" xmlns:p="http://schemas.microsoft.com/office/2006/metadata/properties" xmlns:ns2="4e84d74b-b359-4d34-a4e0-4088e2ef37b8" xmlns:ns3="1fb3006e-7f5c-4a82-acac-257356970ee2" targetNamespace="http://schemas.microsoft.com/office/2006/metadata/properties" ma:root="true" ma:fieldsID="4c2a43071a3fd987e924b3051dd9faf7" ns2:_="" ns3:_="">
    <xsd:import namespace="4e84d74b-b359-4d34-a4e0-4088e2ef37b8"/>
    <xsd:import namespace="1fb3006e-7f5c-4a82-acac-257356970e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4d74b-b359-4d34-a4e0-4088e2ef37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b3006e-7f5c-4a82-acac-257356970e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c02ea31-1b79-4a36-9491-32603a9efe63}" ma:internalName="TaxCatchAll" ma:showField="CatchAllData" ma:web="1fb3006e-7f5c-4a82-acac-257356970e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fb3006e-7f5c-4a82-acac-257356970ee2" xsi:nil="true"/>
    <lcf76f155ced4ddcb4097134ff3c332f xmlns="4e84d74b-b359-4d34-a4e0-4088e2ef37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5F922B-7FDC-4056-95AF-7CEC271B41CE}"/>
</file>

<file path=customXml/itemProps2.xml><?xml version="1.0" encoding="utf-8"?>
<ds:datastoreItem xmlns:ds="http://schemas.openxmlformats.org/officeDocument/2006/customXml" ds:itemID="{B9FA3659-DA5E-4969-A43A-281D9470312E}"/>
</file>

<file path=customXml/itemProps3.xml><?xml version="1.0" encoding="utf-8"?>
<ds:datastoreItem xmlns:ds="http://schemas.openxmlformats.org/officeDocument/2006/customXml" ds:itemID="{9787EB68-DA5B-4281-B8CF-886439A05A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DIEPPOIS CAMILLE</cp:lastModifiedBy>
  <cp:revision/>
  <dcterms:created xsi:type="dcterms:W3CDTF">2020-02-01T09:20:16Z</dcterms:created>
  <dcterms:modified xsi:type="dcterms:W3CDTF">2026-04-08T17:20:10Z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0x010100E613A539E0C87D4D83167993C53A6FEA</vt:lpwstr>
  </property>
  <property fmtid="{D5CDD505-2E9C-101B-9397-08002B2CF9AE}" pid="3" name="MediaServiceImageTags">
    <vt:lpwstr/>
  </property>
</Properties>
</file>